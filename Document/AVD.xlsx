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BVIEW STUDY\位移\"/>
    </mc:Choice>
  </mc:AlternateContent>
  <xr:revisionPtr revIDLastSave="0" documentId="13_ncr:1_{B02D5478-BE39-418E-A704-90DF99F64262}" xr6:coauthVersionLast="41" xr6:coauthVersionMax="41" xr10:uidLastSave="{00000000-0000-0000-0000-000000000000}"/>
  <bookViews>
    <workbookView xWindow="0" yWindow="0" windowWidth="28800" windowHeight="15450" activeTab="1" xr2:uid="{B390E01E-7530-47E0-9981-1FCCA0263A50}"/>
  </bookViews>
  <sheets>
    <sheet name="位移公式" sheetId="1" r:id="rId1"/>
    <sheet name="STFT 分析的檔案格式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1" l="1"/>
  <c r="G15" i="1" s="1"/>
  <c r="L15" i="1" s="1"/>
  <c r="M15" i="1" s="1"/>
  <c r="J14" i="1"/>
  <c r="K14" i="1"/>
  <c r="L14" i="1"/>
  <c r="M14" i="1" s="1"/>
  <c r="F14" i="1"/>
  <c r="G14" i="1"/>
  <c r="J13" i="1"/>
  <c r="K13" i="1" s="1"/>
  <c r="L13" i="1"/>
  <c r="M13" i="1"/>
  <c r="F13" i="1"/>
  <c r="G13" i="1" s="1"/>
  <c r="J12" i="1"/>
  <c r="K12" i="1" s="1"/>
  <c r="L12" i="1"/>
  <c r="M12" i="1"/>
  <c r="F12" i="1"/>
  <c r="G12" i="1" s="1"/>
  <c r="P11" i="1"/>
  <c r="O11" i="1" s="1"/>
  <c r="R15" i="1"/>
  <c r="J10" i="1"/>
  <c r="K10" i="1" s="1"/>
  <c r="J9" i="1"/>
  <c r="K9" i="1" s="1"/>
  <c r="J11" i="1"/>
  <c r="K11" i="1" s="1"/>
  <c r="M11" i="1"/>
  <c r="L11" i="1"/>
  <c r="F11" i="1"/>
  <c r="G11" i="1"/>
  <c r="M10" i="1"/>
  <c r="P10" i="1"/>
  <c r="Q10" i="1" s="1"/>
  <c r="L10" i="1"/>
  <c r="F10" i="1"/>
  <c r="G10" i="1" s="1"/>
  <c r="J8" i="1"/>
  <c r="M9" i="1"/>
  <c r="M5" i="1"/>
  <c r="M6" i="1"/>
  <c r="M7" i="1"/>
  <c r="M8" i="1"/>
  <c r="M4" i="1"/>
  <c r="K5" i="1"/>
  <c r="K6" i="1"/>
  <c r="K7" i="1"/>
  <c r="K8" i="1"/>
  <c r="K4" i="1"/>
  <c r="L9" i="1"/>
  <c r="O9" i="1"/>
  <c r="Q4" i="1"/>
  <c r="Q9" i="1"/>
  <c r="P9" i="1"/>
  <c r="F9" i="1"/>
  <c r="G9" i="1" s="1"/>
  <c r="D4" i="1"/>
  <c r="F4" i="1" s="1"/>
  <c r="J4" i="1" s="1"/>
  <c r="J15" i="1" l="1"/>
  <c r="K15" i="1" s="1"/>
  <c r="Q11" i="1"/>
  <c r="F6" i="1"/>
  <c r="F7" i="1"/>
  <c r="F8" i="1"/>
  <c r="G4" i="1"/>
  <c r="L4" i="1" s="1"/>
  <c r="P4" i="1" s="1"/>
  <c r="O4" i="1" s="1"/>
  <c r="F5" i="1"/>
  <c r="P5" i="1" l="1"/>
  <c r="G8" i="1"/>
  <c r="L8" i="1" s="1"/>
  <c r="P8" i="1" s="1"/>
  <c r="J7" i="1"/>
  <c r="G7" i="1"/>
  <c r="L7" i="1" s="1"/>
  <c r="P7" i="1" s="1"/>
  <c r="G6" i="1"/>
  <c r="L6" i="1" s="1"/>
  <c r="P6" i="1" s="1"/>
  <c r="J6" i="1"/>
  <c r="G5" i="1"/>
  <c r="L5" i="1" s="1"/>
  <c r="J5" i="1"/>
  <c r="O7" i="1" l="1"/>
  <c r="Q7" i="1"/>
  <c r="O8" i="1"/>
  <c r="Q8" i="1"/>
  <c r="O6" i="1"/>
  <c r="Q6" i="1"/>
  <c r="O5" i="1"/>
  <c r="Q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邢豪峰</author>
  </authors>
  <commentList>
    <comment ref="M3" authorId="0" shapeId="0" xr:uid="{35233FFC-99C2-4BBC-9141-BD92451DCE35}">
      <text>
        <r>
          <rPr>
            <b/>
            <sz val="9"/>
            <color indexed="81"/>
            <rFont val="細明體"/>
            <family val="3"/>
            <charset val="136"/>
          </rPr>
          <t>乘上</t>
        </r>
        <r>
          <rPr>
            <b/>
            <sz val="9"/>
            <color indexed="81"/>
            <rFont val="Tahoma"/>
            <family val="2"/>
          </rPr>
          <t xml:space="preserve">1000 
</t>
        </r>
        <r>
          <rPr>
            <b/>
            <sz val="9"/>
            <color indexed="81"/>
            <rFont val="細明體"/>
            <family val="3"/>
            <charset val="136"/>
          </rPr>
          <t xml:space="preserve">＝公尺轉公釐
</t>
        </r>
        <r>
          <rPr>
            <b/>
            <sz val="9"/>
            <color indexed="81"/>
            <rFont val="Tahoma"/>
            <family val="2"/>
          </rPr>
          <t xml:space="preserve"> (mm)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9" authorId="0" shapeId="0" xr:uid="{54973AE5-9369-40E2-B51C-978F2236910E}">
      <text>
        <r>
          <rPr>
            <sz val="9"/>
            <color indexed="81"/>
            <rFont val="細明體"/>
            <family val="3"/>
            <charset val="136"/>
          </rPr>
          <t>單位:
m 公尺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AF703BD-ABB4-469F-BDAE-57C0F97A32A2}" keepAlive="1" name="查詢 - VRS1_2019_01_04_17_04_36" description="與活頁簿中 'VRS1_2019_01_04_17_04_36' 查詢的連接。" type="5" refreshedVersion="6" background="1">
    <dbPr connection="Provider=Microsoft.Mashup.OleDb.1;Data Source=$Workbook$;Location=VRS1_2019_01_04_17_04_36;Extended Properties=&quot;&quot;" command="SELECT * FROM [VRS1_2019_01_04_17_04_36]"/>
  </connection>
</connections>
</file>

<file path=xl/sharedStrings.xml><?xml version="1.0" encoding="utf-8"?>
<sst xmlns="http://schemas.openxmlformats.org/spreadsheetml/2006/main" count="15" uniqueCount="14">
  <si>
    <t>pi</t>
    <phoneticPr fontId="1" type="noConversion"/>
  </si>
  <si>
    <t>v</t>
    <phoneticPr fontId="1" type="noConversion"/>
  </si>
  <si>
    <t>a</t>
    <phoneticPr fontId="1" type="noConversion"/>
  </si>
  <si>
    <t>輸入加速度得出v, d值</t>
    <phoneticPr fontId="1" type="noConversion"/>
  </si>
  <si>
    <r>
      <t>驗算V＝2</t>
    </r>
    <r>
      <rPr>
        <sz val="12"/>
        <color theme="1"/>
        <rFont val="Calibri"/>
        <family val="2"/>
        <charset val="161"/>
      </rPr>
      <t>π</t>
    </r>
    <r>
      <rPr>
        <sz val="12"/>
        <color theme="1"/>
        <rFont val="新細明體"/>
        <family val="2"/>
        <charset val="136"/>
        <scheme val="minor"/>
      </rPr>
      <t>fD＝</t>
    </r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新細明體"/>
        <family val="2"/>
        <charset val="136"/>
        <scheme val="minor"/>
      </rPr>
      <t>D    ﹔   A＝2</t>
    </r>
    <r>
      <rPr>
        <sz val="12"/>
        <color theme="1"/>
        <rFont val="Calibri"/>
        <family val="2"/>
        <charset val="161"/>
      </rPr>
      <t>π</t>
    </r>
    <r>
      <rPr>
        <sz val="12"/>
        <color theme="1"/>
        <rFont val="新細明體"/>
        <family val="2"/>
        <charset val="136"/>
        <scheme val="minor"/>
      </rPr>
      <t>f V</t>
    </r>
    <phoneticPr fontId="1" type="noConversion"/>
  </si>
  <si>
    <r>
      <t>（2</t>
    </r>
    <r>
      <rPr>
        <sz val="12"/>
        <color theme="1"/>
        <rFont val="Calibri"/>
        <family val="2"/>
        <charset val="161"/>
      </rPr>
      <t>π</t>
    </r>
    <r>
      <rPr>
        <sz val="12"/>
        <color theme="1"/>
        <rFont val="新細明體"/>
        <family val="2"/>
        <charset val="136"/>
        <scheme val="minor"/>
      </rPr>
      <t>f)^2</t>
    </r>
    <phoneticPr fontId="1" type="noConversion"/>
  </si>
  <si>
    <t>freq=輸入由g值的頻率</t>
    <phoneticPr fontId="1" type="noConversion"/>
  </si>
  <si>
    <r>
      <t>2</t>
    </r>
    <r>
      <rPr>
        <sz val="12"/>
        <color theme="1"/>
        <rFont val="Calibri"/>
        <family val="2"/>
        <charset val="161"/>
      </rPr>
      <t>π</t>
    </r>
    <r>
      <rPr>
        <sz val="12"/>
        <color theme="1"/>
        <rFont val="新細明體"/>
        <family val="2"/>
        <charset val="136"/>
        <scheme val="minor"/>
      </rPr>
      <t>f</t>
    </r>
    <phoneticPr fontId="1" type="noConversion"/>
  </si>
  <si>
    <t>2pi</t>
    <phoneticPr fontId="1" type="noConversion"/>
  </si>
  <si>
    <r>
      <t>v (</t>
    </r>
    <r>
      <rPr>
        <sz val="12"/>
        <color theme="1"/>
        <rFont val="Calibri"/>
        <family val="1"/>
        <charset val="161"/>
      </rPr>
      <t>μ</t>
    </r>
    <r>
      <rPr>
        <sz val="12"/>
        <color theme="1"/>
        <rFont val="新細明體"/>
        <family val="1"/>
        <charset val="136"/>
      </rPr>
      <t>m)</t>
    </r>
    <phoneticPr fontId="1" type="noConversion"/>
  </si>
  <si>
    <t>v (單位:公尺-秒 m/s)</t>
    <phoneticPr fontId="1" type="noConversion"/>
  </si>
  <si>
    <t>v (單位:mm/s)</t>
    <phoneticPr fontId="1" type="noConversion"/>
  </si>
  <si>
    <t>d(m)</t>
    <phoneticPr fontId="1" type="noConversion"/>
  </si>
  <si>
    <t>d(mm)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</si>
</sst>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</font>
    <font>
      <sz val="12"/>
      <color theme="1"/>
      <name val="Calibri"/>
      <family val="2"/>
      <charset val="161"/>
    </font>
    <font>
      <sz val="12"/>
      <color theme="1"/>
      <name val="新細明體"/>
      <family val="1"/>
      <charset val="136"/>
    </font>
    <font>
      <sz val="12"/>
      <color theme="1"/>
      <name val="Calibri"/>
      <family val="1"/>
      <charset val="16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2" borderId="5" xfId="0" applyFill="1" applyBorder="1">
      <alignment vertical="center"/>
    </xf>
    <xf numFmtId="0" fontId="0" fillId="3" borderId="0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2" xfId="0" quotePrefix="1" applyBorder="1">
      <alignment vertical="center"/>
    </xf>
    <xf numFmtId="0" fontId="0" fillId="0" borderId="13" xfId="0" quotePrefix="1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2" fillId="0" borderId="21" xfId="0" applyFont="1" applyBorder="1">
      <alignment vertical="center"/>
    </xf>
    <xf numFmtId="0" fontId="0" fillId="0" borderId="22" xfId="0" applyFill="1" applyBorder="1">
      <alignment vertical="center"/>
    </xf>
    <xf numFmtId="0" fontId="0" fillId="0" borderId="23" xfId="0" applyFill="1" applyBorder="1">
      <alignment vertical="center"/>
    </xf>
    <xf numFmtId="0" fontId="0" fillId="0" borderId="5" xfId="0" applyFill="1" applyBorder="1">
      <alignment vertical="center"/>
    </xf>
    <xf numFmtId="0" fontId="0" fillId="0" borderId="0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4" borderId="24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676275</xdr:colOff>
      <xdr:row>17</xdr:row>
      <xdr:rowOff>133350</xdr:rowOff>
    </xdr:from>
    <xdr:ext cx="4835234" cy="663643"/>
    <xdr:sp macro="" textlink="">
      <xdr:nvSpPr>
        <xdr:cNvPr id="2" name="文字方塊 1">
          <a:extLst>
            <a:ext uri="{FF2B5EF4-FFF2-40B4-BE49-F238E27FC236}">
              <a16:creationId xmlns:a16="http://schemas.microsoft.com/office/drawing/2014/main" id="{CAF9FEBF-90E2-4F2C-9DFE-4B7BEDDFE4F9}"/>
            </a:ext>
          </a:extLst>
        </xdr:cNvPr>
        <xdr:cNvSpPr txBox="1"/>
      </xdr:nvSpPr>
      <xdr:spPr>
        <a:xfrm>
          <a:off x="2047875" y="2466975"/>
          <a:ext cx="4835234" cy="66364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＝ω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    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﹔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A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V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＝（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TW" sz="18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＝ω</a:t>
          </a:r>
          <a:r>
            <a:rPr lang="en-US" altLang="zh-TW" sz="18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</a:t>
          </a:r>
          <a:endParaRPr lang="zh-TW" altLang="zh-TW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lang="zh-TW" altLang="en-US" sz="1100"/>
        </a:p>
      </xdr:txBody>
    </xdr:sp>
    <xdr:clientData/>
  </xdr:oneCellAnchor>
  <xdr:oneCellAnchor>
    <xdr:from>
      <xdr:col>8</xdr:col>
      <xdr:colOff>373380</xdr:colOff>
      <xdr:row>17</xdr:row>
      <xdr:rowOff>209550</xdr:rowOff>
    </xdr:from>
    <xdr:ext cx="3284220" cy="2903552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ED266AAA-39F7-4DB3-A914-7D34C37E1BD4}"/>
            </a:ext>
          </a:extLst>
        </xdr:cNvPr>
        <xdr:cNvSpPr txBox="1"/>
      </xdr:nvSpPr>
      <xdr:spPr>
        <a:xfrm>
          <a:off x="7406640" y="2571750"/>
          <a:ext cx="3284220" cy="2903552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V/2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en-US" altLang="zh-TW" sz="3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﹔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＝（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TW" sz="18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D= A/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zh-TW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TW" sz="1800" baseline="30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endParaRPr lang="zh-TW" altLang="en-US" sz="1100"/>
        </a:p>
      </xdr:txBody>
    </xdr:sp>
    <xdr:clientData/>
  </xdr:oneCellAnchor>
  <xdr:oneCellAnchor>
    <xdr:from>
      <xdr:col>11</xdr:col>
      <xdr:colOff>550545</xdr:colOff>
      <xdr:row>18</xdr:row>
      <xdr:rowOff>19050</xdr:rowOff>
    </xdr:from>
    <xdr:ext cx="3284220" cy="243977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E864784B-CB90-49C4-9772-F40688A93E8A}"/>
            </a:ext>
          </a:extLst>
        </xdr:cNvPr>
        <xdr:cNvSpPr txBox="1"/>
      </xdr:nvSpPr>
      <xdr:spPr>
        <a:xfrm>
          <a:off x="11165205" y="2594610"/>
          <a:ext cx="3284220" cy="243977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</a:t>
          </a:r>
          <a:r>
            <a:rPr lang="zh-TW" alt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l-GR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</a:t>
          </a:r>
          <a:r>
            <a:rPr lang="zh-TW" alt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V/2</a:t>
          </a:r>
          <a:r>
            <a:rPr lang="el-GR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TW" alt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l-GR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V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 = A/2</a:t>
          </a:r>
          <a:r>
            <a:rPr lang="el-GR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</a:t>
          </a:r>
          <a:r>
            <a:rPr lang="zh-TW" alt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＝（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l-GR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</a:t>
          </a:r>
          <a:r>
            <a:rPr lang="zh-TW" alt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）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D= A/</a:t>
          </a:r>
          <a:r>
            <a:rPr lang="zh-TW" altLang="en-US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l-GR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π</a:t>
          </a:r>
          <a:r>
            <a:rPr lang="en-US" altLang="zh-TW" sz="1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f)^2</a:t>
          </a:r>
          <a:endParaRPr lang="zh-TW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8</xdr:row>
      <xdr:rowOff>133350</xdr:rowOff>
    </xdr:from>
    <xdr:to>
      <xdr:col>11</xdr:col>
      <xdr:colOff>57150</xdr:colOff>
      <xdr:row>12</xdr:row>
      <xdr:rowOff>19050</xdr:rowOff>
    </xdr:to>
    <xdr:sp macro="" textlink="">
      <xdr:nvSpPr>
        <xdr:cNvPr id="2" name="語音泡泡: 矩形 1">
          <a:extLst>
            <a:ext uri="{FF2B5EF4-FFF2-40B4-BE49-F238E27FC236}">
              <a16:creationId xmlns:a16="http://schemas.microsoft.com/office/drawing/2014/main" id="{EE0796DD-2E80-4B37-BAE3-596950F575C8}"/>
            </a:ext>
          </a:extLst>
        </xdr:cNvPr>
        <xdr:cNvSpPr/>
      </xdr:nvSpPr>
      <xdr:spPr>
        <a:xfrm>
          <a:off x="6334125" y="1809750"/>
          <a:ext cx="1266825" cy="723900"/>
        </a:xfrm>
        <a:prstGeom prst="wedgeRectCallout">
          <a:avLst>
            <a:gd name="adj1" fmla="val -471614"/>
            <a:gd name="adj2" fmla="val -159323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X</a:t>
          </a:r>
          <a:r>
            <a:rPr lang="zh-TW" altLang="en-US" sz="1100"/>
            <a:t>軸的資料</a:t>
          </a:r>
        </a:p>
      </xdr:txBody>
    </xdr:sp>
    <xdr:clientData/>
  </xdr:twoCellAnchor>
  <xdr:twoCellAnchor>
    <xdr:from>
      <xdr:col>8</xdr:col>
      <xdr:colOff>666750</xdr:colOff>
      <xdr:row>13</xdr:row>
      <xdr:rowOff>200025</xdr:rowOff>
    </xdr:from>
    <xdr:to>
      <xdr:col>10</xdr:col>
      <xdr:colOff>561975</xdr:colOff>
      <xdr:row>17</xdr:row>
      <xdr:rowOff>85725</xdr:rowOff>
    </xdr:to>
    <xdr:sp macro="" textlink="">
      <xdr:nvSpPr>
        <xdr:cNvPr id="3" name="語音泡泡: 矩形 2">
          <a:extLst>
            <a:ext uri="{FF2B5EF4-FFF2-40B4-BE49-F238E27FC236}">
              <a16:creationId xmlns:a16="http://schemas.microsoft.com/office/drawing/2014/main" id="{A547C37E-76F6-4915-9456-7C2E42CC4860}"/>
            </a:ext>
          </a:extLst>
        </xdr:cNvPr>
        <xdr:cNvSpPr/>
      </xdr:nvSpPr>
      <xdr:spPr>
        <a:xfrm>
          <a:off x="6153150" y="2924175"/>
          <a:ext cx="1266825" cy="723900"/>
        </a:xfrm>
        <a:prstGeom prst="wedgeRectCallout">
          <a:avLst>
            <a:gd name="adj1" fmla="val -402441"/>
            <a:gd name="adj2" fmla="val -10406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Y</a:t>
          </a:r>
          <a:r>
            <a:rPr lang="zh-TW" altLang="en-US" sz="1100"/>
            <a:t>軸的資料</a:t>
          </a:r>
        </a:p>
      </xdr:txBody>
    </xdr:sp>
    <xdr:clientData/>
  </xdr:twoCellAnchor>
  <xdr:twoCellAnchor>
    <xdr:from>
      <xdr:col>8</xdr:col>
      <xdr:colOff>657225</xdr:colOff>
      <xdr:row>19</xdr:row>
      <xdr:rowOff>152400</xdr:rowOff>
    </xdr:from>
    <xdr:to>
      <xdr:col>10</xdr:col>
      <xdr:colOff>552450</xdr:colOff>
      <xdr:row>23</xdr:row>
      <xdr:rowOff>38100</xdr:rowOff>
    </xdr:to>
    <xdr:sp macro="" textlink="">
      <xdr:nvSpPr>
        <xdr:cNvPr id="4" name="語音泡泡: 矩形 3">
          <a:extLst>
            <a:ext uri="{FF2B5EF4-FFF2-40B4-BE49-F238E27FC236}">
              <a16:creationId xmlns:a16="http://schemas.microsoft.com/office/drawing/2014/main" id="{0EC553A3-7F0C-42A8-AAC6-BC463416CFB4}"/>
            </a:ext>
          </a:extLst>
        </xdr:cNvPr>
        <xdr:cNvSpPr/>
      </xdr:nvSpPr>
      <xdr:spPr>
        <a:xfrm>
          <a:off x="6143625" y="4133850"/>
          <a:ext cx="1266825" cy="723900"/>
        </a:xfrm>
        <a:prstGeom prst="wedgeRectCallout">
          <a:avLst>
            <a:gd name="adj1" fmla="val -334772"/>
            <a:gd name="adj2" fmla="val -108007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Z</a:t>
          </a:r>
          <a:r>
            <a:rPr lang="zh-TW" altLang="en-US" sz="1100"/>
            <a:t>軸的資料</a:t>
          </a:r>
        </a:p>
      </xdr:txBody>
    </xdr:sp>
    <xdr:clientData/>
  </xdr:twoCellAnchor>
  <xdr:twoCellAnchor>
    <xdr:from>
      <xdr:col>5</xdr:col>
      <xdr:colOff>123825</xdr:colOff>
      <xdr:row>27</xdr:row>
      <xdr:rowOff>38100</xdr:rowOff>
    </xdr:from>
    <xdr:to>
      <xdr:col>7</xdr:col>
      <xdr:colOff>19050</xdr:colOff>
      <xdr:row>30</xdr:row>
      <xdr:rowOff>133350</xdr:rowOff>
    </xdr:to>
    <xdr:sp macro="" textlink="">
      <xdr:nvSpPr>
        <xdr:cNvPr id="6" name="語音泡泡: 矩形 5">
          <a:extLst>
            <a:ext uri="{FF2B5EF4-FFF2-40B4-BE49-F238E27FC236}">
              <a16:creationId xmlns:a16="http://schemas.microsoft.com/office/drawing/2014/main" id="{B77B029A-8999-46EF-9CF0-54D91F3697A1}"/>
            </a:ext>
          </a:extLst>
        </xdr:cNvPr>
        <xdr:cNvSpPr/>
      </xdr:nvSpPr>
      <xdr:spPr>
        <a:xfrm>
          <a:off x="3552825" y="5695950"/>
          <a:ext cx="1266825" cy="723900"/>
        </a:xfrm>
        <a:prstGeom prst="wedgeRectCallout">
          <a:avLst>
            <a:gd name="adj1" fmla="val -282892"/>
            <a:gd name="adj2" fmla="val -272480"/>
          </a:avLst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TW" altLang="en-US" sz="1100"/>
            <a:t>資料的筆數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5EEDE-4933-4CFC-BDC3-6E0FE6262124}">
  <dimension ref="B1:R22"/>
  <sheetViews>
    <sheetView workbookViewId="0">
      <selection activeCell="L15" sqref="L15"/>
    </sheetView>
  </sheetViews>
  <sheetFormatPr defaultRowHeight="16.5" x14ac:dyDescent="0.25"/>
  <cols>
    <col min="5" max="5" width="23.25" customWidth="1"/>
    <col min="7" max="7" width="15" customWidth="1"/>
    <col min="9" max="9" width="9.5" bestFit="1" customWidth="1"/>
    <col min="10" max="10" width="20.125" customWidth="1"/>
    <col min="11" max="11" width="17.375" customWidth="1"/>
    <col min="12" max="12" width="12.875" bestFit="1" customWidth="1"/>
    <col min="13" max="13" width="12.875" customWidth="1"/>
    <col min="15" max="15" width="20.25" customWidth="1"/>
    <col min="16" max="16" width="15.375" customWidth="1"/>
    <col min="17" max="17" width="12.75" bestFit="1" customWidth="1"/>
    <col min="18" max="18" width="9.5" bestFit="1" customWidth="1"/>
  </cols>
  <sheetData>
    <row r="1" spans="2:18" ht="17.25" thickBot="1" x14ac:dyDescent="0.3"/>
    <row r="2" spans="2:18" ht="33.75" customHeight="1" thickBot="1" x14ac:dyDescent="0.3">
      <c r="B2" s="11"/>
      <c r="C2" s="12" t="s">
        <v>0</v>
      </c>
      <c r="D2" s="12" t="s">
        <v>8</v>
      </c>
      <c r="E2" s="12" t="s">
        <v>6</v>
      </c>
      <c r="F2" s="13" t="s">
        <v>7</v>
      </c>
      <c r="G2" s="14" t="s">
        <v>5</v>
      </c>
      <c r="I2" s="33" t="s">
        <v>3</v>
      </c>
      <c r="J2" s="34"/>
      <c r="K2" s="34"/>
      <c r="L2" s="35"/>
      <c r="M2" s="31"/>
      <c r="O2" s="33" t="s">
        <v>4</v>
      </c>
      <c r="P2" s="34"/>
      <c r="Q2" s="30">
        <v>1000</v>
      </c>
    </row>
    <row r="3" spans="2:18" x14ac:dyDescent="0.25">
      <c r="B3" s="20"/>
      <c r="C3" s="21"/>
      <c r="D3" s="21"/>
      <c r="E3" s="21"/>
      <c r="F3" s="21"/>
      <c r="G3" s="22"/>
      <c r="I3" s="7" t="s">
        <v>2</v>
      </c>
      <c r="J3" s="8" t="s">
        <v>10</v>
      </c>
      <c r="K3" s="8" t="s">
        <v>11</v>
      </c>
      <c r="L3" s="9" t="s">
        <v>12</v>
      </c>
      <c r="M3" s="32" t="s">
        <v>13</v>
      </c>
      <c r="O3" s="7" t="s">
        <v>2</v>
      </c>
      <c r="P3" s="8" t="s">
        <v>1</v>
      </c>
      <c r="Q3" s="28" t="s">
        <v>9</v>
      </c>
    </row>
    <row r="4" spans="2:18" x14ac:dyDescent="0.25">
      <c r="B4" s="15">
        <v>2</v>
      </c>
      <c r="C4" s="1">
        <v>3.1415899999999999</v>
      </c>
      <c r="D4" s="1">
        <f>B4*C4</f>
        <v>6.2831799999999998</v>
      </c>
      <c r="E4" s="1">
        <v>6.0286109492379998</v>
      </c>
      <c r="F4" s="1">
        <f>D4*E4</f>
        <v>37.878847744033216</v>
      </c>
      <c r="G4" s="16">
        <f t="shared" ref="G4:G15" si="0">F4^2</f>
        <v>1434.8071064156502</v>
      </c>
      <c r="I4" s="3">
        <v>1.5369999999999999</v>
      </c>
      <c r="J4" s="2">
        <f t="shared" ref="J4:J10" si="1">I4/F4</f>
        <v>4.057673587080305E-2</v>
      </c>
      <c r="K4" s="2">
        <f>J4*$Q$2</f>
        <v>40.576735870803049</v>
      </c>
      <c r="L4" s="4">
        <f t="shared" ref="L4:L15" si="2">I4/G4</f>
        <v>1.0712241339810771E-3</v>
      </c>
      <c r="M4" s="28">
        <f t="shared" ref="M4:M15" si="3">L4*$Q$2</f>
        <v>1.0712241339810771</v>
      </c>
      <c r="O4" s="3">
        <f t="shared" ref="O4:O9" si="4">F4*P4</f>
        <v>1.5370000000000001</v>
      </c>
      <c r="P4" s="2">
        <f t="shared" ref="P4:P11" si="5">F4*L4</f>
        <v>4.0576735870803057E-2</v>
      </c>
      <c r="Q4" s="28">
        <f>P4*100</f>
        <v>4.0576735870803056</v>
      </c>
    </row>
    <row r="5" spans="2:18" x14ac:dyDescent="0.25">
      <c r="B5" s="15"/>
      <c r="C5" s="1"/>
      <c r="D5" s="1"/>
      <c r="E5" s="1">
        <v>5.8308034337730001</v>
      </c>
      <c r="F5" s="1">
        <f t="shared" ref="F5:F15" si="6">E5*$D$4</f>
        <v>36.635987519013838</v>
      </c>
      <c r="G5" s="16">
        <f t="shared" si="0"/>
        <v>1342.1955814933378</v>
      </c>
      <c r="I5" s="3">
        <v>1.1128499999999999</v>
      </c>
      <c r="J5" s="2">
        <f t="shared" si="1"/>
        <v>3.0375870158336472E-2</v>
      </c>
      <c r="K5" s="2">
        <f>J5*$Q$2</f>
        <v>30.375870158336472</v>
      </c>
      <c r="L5" s="4">
        <f t="shared" si="2"/>
        <v>8.291265560283203E-4</v>
      </c>
      <c r="M5" s="28">
        <f t="shared" si="3"/>
        <v>0.82912655602832031</v>
      </c>
      <c r="O5" s="3">
        <f t="shared" si="4"/>
        <v>1.1128499999999999</v>
      </c>
      <c r="P5" s="2">
        <f t="shared" si="5"/>
        <v>3.0375870158336472E-2</v>
      </c>
      <c r="Q5" s="28">
        <f t="shared" ref="Q5:Q8" si="7">P5*100</f>
        <v>3.0375870158336471</v>
      </c>
    </row>
    <row r="6" spans="2:18" x14ac:dyDescent="0.25">
      <c r="B6" s="15"/>
      <c r="C6" s="1"/>
      <c r="D6" s="1"/>
      <c r="E6" s="1">
        <v>5.0623097000000001</v>
      </c>
      <c r="F6" s="1">
        <f t="shared" si="6"/>
        <v>31.807403060845999</v>
      </c>
      <c r="G6" s="16">
        <f t="shared" si="0"/>
        <v>1011.7108894751154</v>
      </c>
      <c r="I6" s="3">
        <v>1.67438</v>
      </c>
      <c r="J6" s="2">
        <f t="shared" si="1"/>
        <v>5.2641204212648021E-2</v>
      </c>
      <c r="K6" s="2">
        <f>J6*$Q$2</f>
        <v>52.64120421264802</v>
      </c>
      <c r="L6" s="4">
        <f t="shared" si="2"/>
        <v>1.6549984955372805E-3</v>
      </c>
      <c r="M6" s="28">
        <f t="shared" si="3"/>
        <v>1.6549984955372805</v>
      </c>
      <c r="O6" s="3">
        <f t="shared" si="4"/>
        <v>1.67438</v>
      </c>
      <c r="P6" s="2">
        <f t="shared" si="5"/>
        <v>5.2641204212648021E-2</v>
      </c>
      <c r="Q6" s="28">
        <f t="shared" si="7"/>
        <v>5.2641204212648018</v>
      </c>
    </row>
    <row r="7" spans="2:18" x14ac:dyDescent="0.25">
      <c r="B7" s="15"/>
      <c r="C7" s="1"/>
      <c r="D7" s="1"/>
      <c r="E7" s="1">
        <v>4.8300629197670002</v>
      </c>
      <c r="F7" s="1">
        <f t="shared" si="6"/>
        <v>30.34815473622162</v>
      </c>
      <c r="G7" s="16">
        <f t="shared" si="0"/>
        <v>921.01049589365073</v>
      </c>
      <c r="I7" s="3">
        <v>1.0662799999999999</v>
      </c>
      <c r="J7" s="2">
        <f t="shared" si="1"/>
        <v>3.513492036889334E-2</v>
      </c>
      <c r="K7" s="2">
        <f>J7*$Q$2</f>
        <v>35.13492036889334</v>
      </c>
      <c r="L7" s="4">
        <f t="shared" si="2"/>
        <v>1.1577283915373789E-3</v>
      </c>
      <c r="M7" s="28">
        <f t="shared" si="3"/>
        <v>1.1577283915373788</v>
      </c>
      <c r="O7" s="3">
        <f t="shared" si="4"/>
        <v>1.0662800000000001</v>
      </c>
      <c r="P7" s="2">
        <f t="shared" si="5"/>
        <v>3.5134920368893346E-2</v>
      </c>
      <c r="Q7" s="28">
        <f t="shared" si="7"/>
        <v>3.5134920368893345</v>
      </c>
    </row>
    <row r="8" spans="2:18" ht="17.25" thickBot="1" x14ac:dyDescent="0.3">
      <c r="B8" s="17"/>
      <c r="C8" s="18"/>
      <c r="D8" s="18"/>
      <c r="E8" s="18">
        <v>6.8478991595550003</v>
      </c>
      <c r="F8" s="18">
        <f t="shared" si="6"/>
        <v>43.026583041332785</v>
      </c>
      <c r="G8" s="19">
        <f t="shared" si="0"/>
        <v>1851.286848212706</v>
      </c>
      <c r="I8" s="5">
        <v>1.6134599999999999</v>
      </c>
      <c r="J8" s="10">
        <f t="shared" si="1"/>
        <v>3.749914322617847E-2</v>
      </c>
      <c r="K8" s="2">
        <f>J8*$Q$2</f>
        <v>37.499143226178468</v>
      </c>
      <c r="L8" s="6">
        <f t="shared" si="2"/>
        <v>8.7153430682969954E-4</v>
      </c>
      <c r="M8" s="29">
        <f t="shared" si="3"/>
        <v>0.87153430682969957</v>
      </c>
      <c r="O8" s="5">
        <f t="shared" si="4"/>
        <v>1.6134600000000001</v>
      </c>
      <c r="P8" s="10">
        <f t="shared" si="5"/>
        <v>3.7499143226178477E-2</v>
      </c>
      <c r="Q8" s="29">
        <f t="shared" si="7"/>
        <v>3.7499143226178475</v>
      </c>
    </row>
    <row r="9" spans="2:18" x14ac:dyDescent="0.25">
      <c r="B9" s="2"/>
      <c r="C9" s="2"/>
      <c r="D9" s="2"/>
      <c r="E9" s="23">
        <v>159.20599999999999</v>
      </c>
      <c r="F9" s="23">
        <f t="shared" si="6"/>
        <v>1000.3199550799999</v>
      </c>
      <c r="G9" s="24">
        <f t="shared" si="0"/>
        <v>1000640.012531253</v>
      </c>
      <c r="I9" s="25">
        <v>9.8073870000000003</v>
      </c>
      <c r="J9" s="26">
        <f t="shared" si="1"/>
        <v>9.8042500803811935E-3</v>
      </c>
      <c r="K9" s="2">
        <f t="shared" ref="K9:K15" si="8">J9*$Q$2</f>
        <v>9.8042500803811929</v>
      </c>
      <c r="L9" s="27">
        <f t="shared" si="2"/>
        <v>9.8011141641147257E-6</v>
      </c>
      <c r="M9" s="2">
        <f t="shared" si="3"/>
        <v>9.8011141641147249E-3</v>
      </c>
      <c r="O9" s="25">
        <f t="shared" si="4"/>
        <v>9.8073870000000003</v>
      </c>
      <c r="P9" s="27">
        <f t="shared" si="5"/>
        <v>9.8042500803811935E-3</v>
      </c>
      <c r="Q9">
        <f>P9*1000</f>
        <v>9.8042500803811929</v>
      </c>
    </row>
    <row r="10" spans="2:18" x14ac:dyDescent="0.25">
      <c r="B10" s="2"/>
      <c r="C10" s="2"/>
      <c r="D10" s="2"/>
      <c r="E10" s="2">
        <v>5.838009543439</v>
      </c>
      <c r="F10" s="23">
        <f t="shared" si="6"/>
        <v>36.681264803145055</v>
      </c>
      <c r="G10" s="24">
        <f t="shared" si="0"/>
        <v>1345.5151875584481</v>
      </c>
      <c r="I10">
        <v>0.61413600000000002</v>
      </c>
      <c r="J10" s="26">
        <f t="shared" si="1"/>
        <v>1.6742497929006634E-2</v>
      </c>
      <c r="K10" s="2">
        <f t="shared" si="8"/>
        <v>16.742497929006635</v>
      </c>
      <c r="L10" s="27">
        <f t="shared" si="2"/>
        <v>4.5643186021140502E-4</v>
      </c>
      <c r="M10" s="2">
        <f t="shared" si="3"/>
        <v>0.45643186021140503</v>
      </c>
      <c r="O10">
        <v>0.61413600000000002</v>
      </c>
      <c r="P10" s="27">
        <f t="shared" si="5"/>
        <v>1.6742497929006634E-2</v>
      </c>
      <c r="Q10">
        <f>P10*1000</f>
        <v>16.742497929006635</v>
      </c>
    </row>
    <row r="11" spans="2:18" x14ac:dyDescent="0.25">
      <c r="B11" s="2"/>
      <c r="C11" s="2"/>
      <c r="D11" s="2"/>
      <c r="E11" s="26">
        <v>8.9089653491000007</v>
      </c>
      <c r="F11" s="23">
        <f t="shared" si="6"/>
        <v>55.976632902158137</v>
      </c>
      <c r="G11" s="24">
        <f t="shared" si="0"/>
        <v>3133.3834310629727</v>
      </c>
      <c r="I11">
        <v>1.2799700000000001</v>
      </c>
      <c r="J11" s="26">
        <f>(I11/F11)</f>
        <v>2.2866148491590528E-2</v>
      </c>
      <c r="K11" s="2">
        <f t="shared" si="8"/>
        <v>22.866148491590529</v>
      </c>
      <c r="L11" s="27">
        <f t="shared" si="2"/>
        <v>4.0849453255894109E-4</v>
      </c>
      <c r="M11" s="2">
        <f t="shared" si="3"/>
        <v>0.40849453255894108</v>
      </c>
      <c r="O11" s="25">
        <f>F11*P11</f>
        <v>1.2799700000000003</v>
      </c>
      <c r="P11" s="27">
        <f t="shared" si="5"/>
        <v>2.2866148491590532E-2</v>
      </c>
      <c r="Q11">
        <f>P11*1000</f>
        <v>22.866148491590533</v>
      </c>
    </row>
    <row r="12" spans="2:18" x14ac:dyDescent="0.25">
      <c r="B12" s="2"/>
      <c r="C12" s="2"/>
      <c r="D12" s="2"/>
      <c r="E12" s="2">
        <v>6.112221123136</v>
      </c>
      <c r="F12" s="23">
        <f t="shared" si="6"/>
        <v>38.404185516465652</v>
      </c>
      <c r="G12" s="24">
        <f t="shared" si="0"/>
        <v>1474.8814651831101</v>
      </c>
      <c r="I12">
        <v>0.97277800000000003</v>
      </c>
      <c r="J12" s="26">
        <f>(I12/F12)</f>
        <v>2.5329999501823183E-2</v>
      </c>
      <c r="K12" s="2">
        <f t="shared" si="8"/>
        <v>25.329999501823181</v>
      </c>
      <c r="L12" s="27">
        <f t="shared" si="2"/>
        <v>6.5956351270522425E-4</v>
      </c>
      <c r="M12" s="2">
        <f t="shared" si="3"/>
        <v>0.65956351270522429</v>
      </c>
      <c r="P12" s="26"/>
    </row>
    <row r="13" spans="2:18" x14ac:dyDescent="0.25">
      <c r="B13" s="2"/>
      <c r="C13" s="2"/>
      <c r="D13" s="2"/>
      <c r="E13" s="2">
        <v>6.3293322783640003</v>
      </c>
      <c r="F13" s="23">
        <f t="shared" si="6"/>
        <v>39.768333984771118</v>
      </c>
      <c r="G13" s="24">
        <f t="shared" si="0"/>
        <v>1581.5203879243015</v>
      </c>
      <c r="I13">
        <v>0.61993399999999999</v>
      </c>
      <c r="J13" s="26">
        <f>(I13/F13)</f>
        <v>1.5588633917563594E-2</v>
      </c>
      <c r="K13" s="2">
        <f t="shared" si="8"/>
        <v>15.588633917563595</v>
      </c>
      <c r="L13" s="27">
        <f t="shared" si="2"/>
        <v>3.919860943516795E-4</v>
      </c>
      <c r="M13" s="2">
        <f t="shared" si="3"/>
        <v>0.39198609435167953</v>
      </c>
      <c r="P13" s="26"/>
    </row>
    <row r="14" spans="2:18" x14ac:dyDescent="0.25">
      <c r="B14" s="2"/>
      <c r="C14" s="2"/>
      <c r="D14" s="2"/>
      <c r="E14" s="2">
        <v>7.3293322783640003</v>
      </c>
      <c r="F14" s="23">
        <f t="shared" si="6"/>
        <v>46.05151398477112</v>
      </c>
      <c r="G14" s="24">
        <f t="shared" si="0"/>
        <v>2120.7419402895698</v>
      </c>
      <c r="I14">
        <v>0.66729700000000003</v>
      </c>
      <c r="J14" s="26">
        <f>(I14/F14)</f>
        <v>1.4490229359683375E-2</v>
      </c>
      <c r="K14" s="2">
        <f t="shared" si="8"/>
        <v>14.490229359683376</v>
      </c>
      <c r="L14" s="27">
        <f t="shared" si="2"/>
        <v>3.1465261629563763E-4</v>
      </c>
      <c r="M14" s="26">
        <f t="shared" si="3"/>
        <v>0.31465261629563762</v>
      </c>
      <c r="P14" s="26"/>
    </row>
    <row r="15" spans="2:18" x14ac:dyDescent="0.25">
      <c r="B15" s="2"/>
      <c r="C15" s="2"/>
      <c r="D15" s="2"/>
      <c r="E15" s="26">
        <v>11.103035999999999</v>
      </c>
      <c r="F15" s="23">
        <f t="shared" si="6"/>
        <v>69.762373734479993</v>
      </c>
      <c r="G15" s="24">
        <f t="shared" si="0"/>
        <v>4866.7887890692637</v>
      </c>
      <c r="I15">
        <v>0.76147500000000001</v>
      </c>
      <c r="J15" s="26">
        <f>(I15/F15)</f>
        <v>1.0915267919325997E-2</v>
      </c>
      <c r="K15" s="2">
        <f t="shared" si="8"/>
        <v>10.915267919325997</v>
      </c>
      <c r="L15" s="27">
        <f t="shared" si="2"/>
        <v>1.5646353951300737E-4</v>
      </c>
      <c r="M15" s="26">
        <f t="shared" si="3"/>
        <v>0.15646353951300737</v>
      </c>
      <c r="P15" s="26">
        <v>12.544</v>
      </c>
      <c r="Q15">
        <v>55.976999999999997</v>
      </c>
      <c r="R15">
        <f>P15/Q15</f>
        <v>0.22409203780123982</v>
      </c>
    </row>
    <row r="16" spans="2:18" x14ac:dyDescent="0.25">
      <c r="B16" s="2"/>
      <c r="C16" s="2"/>
      <c r="D16" s="2"/>
      <c r="E16" s="2"/>
      <c r="F16" s="26"/>
      <c r="G16" s="26"/>
      <c r="J16" s="26"/>
      <c r="K16" s="2"/>
      <c r="L16" s="26"/>
      <c r="M16" s="2"/>
      <c r="P16" s="26"/>
    </row>
    <row r="17" spans="2:16" x14ac:dyDescent="0.25">
      <c r="B17" s="2"/>
      <c r="C17" s="2"/>
      <c r="D17" s="2"/>
      <c r="E17" s="2"/>
      <c r="F17" s="26"/>
      <c r="G17" s="26"/>
      <c r="J17" s="26"/>
      <c r="K17" s="2"/>
      <c r="L17" s="26"/>
      <c r="M17" s="2"/>
      <c r="P17" s="26"/>
    </row>
    <row r="18" spans="2:16" x14ac:dyDescent="0.25">
      <c r="B18" s="2"/>
      <c r="C18" s="2"/>
      <c r="D18" s="2"/>
      <c r="E18" s="2"/>
      <c r="F18" s="2"/>
      <c r="G18" s="2"/>
    </row>
    <row r="19" spans="2:16" x14ac:dyDescent="0.25">
      <c r="B19" s="2"/>
      <c r="C19" s="2"/>
      <c r="D19" s="2"/>
      <c r="E19" s="2"/>
      <c r="F19" s="2"/>
      <c r="G19" s="2"/>
    </row>
    <row r="20" spans="2:16" x14ac:dyDescent="0.25">
      <c r="B20" s="2"/>
      <c r="C20" s="2"/>
      <c r="D20" s="2"/>
      <c r="E20" s="2"/>
      <c r="F20" s="2"/>
      <c r="G20" s="2"/>
    </row>
    <row r="21" spans="2:16" x14ac:dyDescent="0.25">
      <c r="B21" s="2"/>
      <c r="C21" s="2"/>
      <c r="D21" s="2"/>
      <c r="E21" s="2"/>
      <c r="F21" s="2"/>
      <c r="G21" s="2"/>
    </row>
    <row r="22" spans="2:16" x14ac:dyDescent="0.25">
      <c r="B22" s="2"/>
      <c r="C22" s="2"/>
      <c r="D22" s="2"/>
      <c r="E22" s="2"/>
      <c r="F22" s="2"/>
      <c r="G22" s="2"/>
    </row>
  </sheetData>
  <mergeCells count="2">
    <mergeCell ref="I2:L2"/>
    <mergeCell ref="O2:P2"/>
  </mergeCells>
  <phoneticPr fontId="1" type="noConversion"/>
  <pageMargins left="0.7" right="0.7" top="0.75" bottom="0.75" header="0.3" footer="0.3"/>
  <pageSetup paperSize="9" orientation="portrait" horizontalDpi="4294967293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4236-55C2-43C3-AB77-6862C3655ACC}">
  <dimension ref="A1:D28"/>
  <sheetViews>
    <sheetView tabSelected="1" workbookViewId="0">
      <selection activeCell="O20" sqref="O20"/>
    </sheetView>
  </sheetViews>
  <sheetFormatPr defaultRowHeight="16.5" x14ac:dyDescent="0.25"/>
  <sheetData>
    <row r="1" spans="1:4" x14ac:dyDescent="0.25">
      <c r="A1">
        <v>0</v>
      </c>
      <c r="B1">
        <v>2.7469999999999999E-3</v>
      </c>
      <c r="C1">
        <v>4.8584000000000002E-2</v>
      </c>
      <c r="D1">
        <v>0.97119100000000003</v>
      </c>
    </row>
    <row r="2" spans="1:4" x14ac:dyDescent="0.25">
      <c r="A2">
        <v>1</v>
      </c>
      <c r="B2">
        <v>-1.0380000000000001E-3</v>
      </c>
      <c r="C2">
        <v>4.9743999999999997E-2</v>
      </c>
      <c r="D2">
        <v>0.97381600000000001</v>
      </c>
    </row>
    <row r="3" spans="1:4" x14ac:dyDescent="0.25">
      <c r="A3">
        <v>2</v>
      </c>
      <c r="B3">
        <v>2.4399999999999999E-4</v>
      </c>
      <c r="C3">
        <v>4.0527000000000001E-2</v>
      </c>
      <c r="D3">
        <v>0.97973600000000005</v>
      </c>
    </row>
    <row r="4" spans="1:4" x14ac:dyDescent="0.25">
      <c r="A4">
        <v>3</v>
      </c>
      <c r="B4">
        <v>1.892E-3</v>
      </c>
      <c r="C4">
        <v>3.6621000000000001E-2</v>
      </c>
      <c r="D4">
        <v>0.97460899999999995</v>
      </c>
    </row>
    <row r="5" spans="1:4" x14ac:dyDescent="0.25">
      <c r="A5">
        <v>4</v>
      </c>
      <c r="B5">
        <v>-4.0280000000000003E-3</v>
      </c>
      <c r="C5">
        <v>3.6742999999999998E-2</v>
      </c>
      <c r="D5">
        <v>0.96356200000000003</v>
      </c>
    </row>
    <row r="6" spans="1:4" x14ac:dyDescent="0.25">
      <c r="A6">
        <v>5</v>
      </c>
      <c r="B6">
        <v>-7.3850000000000001E-3</v>
      </c>
      <c r="C6">
        <v>4.657E-2</v>
      </c>
      <c r="D6">
        <v>0.95544399999999996</v>
      </c>
    </row>
    <row r="7" spans="1:4" x14ac:dyDescent="0.25">
      <c r="A7">
        <v>6</v>
      </c>
      <c r="B7">
        <v>-2.686E-3</v>
      </c>
      <c r="C7">
        <v>4.5654E-2</v>
      </c>
      <c r="D7">
        <v>0.95758100000000002</v>
      </c>
    </row>
    <row r="8" spans="1:4" x14ac:dyDescent="0.25">
      <c r="A8">
        <v>7</v>
      </c>
      <c r="B8">
        <v>-8.9110000000000005E-3</v>
      </c>
      <c r="C8">
        <v>4.0954999999999998E-2</v>
      </c>
      <c r="D8">
        <v>0.94677699999999998</v>
      </c>
    </row>
    <row r="9" spans="1:4" x14ac:dyDescent="0.25">
      <c r="A9">
        <v>8</v>
      </c>
      <c r="B9">
        <v>-9.6439999999999998E-3</v>
      </c>
      <c r="C9">
        <v>3.8391000000000002E-2</v>
      </c>
      <c r="D9">
        <v>0.94207799999999997</v>
      </c>
    </row>
    <row r="10" spans="1:4" x14ac:dyDescent="0.25">
      <c r="A10">
        <v>9</v>
      </c>
      <c r="B10">
        <v>-4.4559999999999999E-3</v>
      </c>
      <c r="C10">
        <v>3.8391000000000002E-2</v>
      </c>
      <c r="D10">
        <v>0.935608</v>
      </c>
    </row>
    <row r="11" spans="1:4" x14ac:dyDescent="0.25">
      <c r="A11">
        <v>10</v>
      </c>
      <c r="B11">
        <v>-1.123E-2</v>
      </c>
      <c r="C11">
        <v>3.0151000000000001E-2</v>
      </c>
      <c r="D11">
        <v>0.93536399999999997</v>
      </c>
    </row>
    <row r="12" spans="1:4" x14ac:dyDescent="0.25">
      <c r="A12">
        <v>11</v>
      </c>
      <c r="B12">
        <v>-1.8005E-2</v>
      </c>
      <c r="C12">
        <v>2.8625000000000001E-2</v>
      </c>
      <c r="D12">
        <v>0.93414299999999995</v>
      </c>
    </row>
    <row r="13" spans="1:4" x14ac:dyDescent="0.25">
      <c r="A13">
        <v>12</v>
      </c>
      <c r="B13">
        <v>-1.4526000000000001E-2</v>
      </c>
      <c r="C13">
        <v>2.6733E-2</v>
      </c>
      <c r="D13">
        <v>0.91595499999999996</v>
      </c>
    </row>
    <row r="14" spans="1:4" x14ac:dyDescent="0.25">
      <c r="A14">
        <v>13</v>
      </c>
      <c r="B14">
        <v>-1.7455999999999999E-2</v>
      </c>
      <c r="C14">
        <v>2.0264000000000001E-2</v>
      </c>
      <c r="D14">
        <v>0.91833500000000001</v>
      </c>
    </row>
    <row r="15" spans="1:4" x14ac:dyDescent="0.25">
      <c r="A15">
        <v>14</v>
      </c>
      <c r="B15">
        <v>-2.1972999999999999E-2</v>
      </c>
      <c r="C15">
        <v>1.8921E-2</v>
      </c>
      <c r="D15">
        <v>0.94061300000000003</v>
      </c>
    </row>
    <row r="16" spans="1:4" x14ac:dyDescent="0.25">
      <c r="A16">
        <v>15</v>
      </c>
      <c r="B16">
        <v>-1.2085E-2</v>
      </c>
      <c r="C16">
        <v>2.5513000000000001E-2</v>
      </c>
      <c r="D16">
        <v>0.94909699999999997</v>
      </c>
    </row>
    <row r="17" spans="1:4" x14ac:dyDescent="0.25">
      <c r="A17">
        <v>16</v>
      </c>
      <c r="B17">
        <v>-6.8970000000000004E-3</v>
      </c>
      <c r="C17">
        <v>4.1931000000000003E-2</v>
      </c>
      <c r="D17">
        <v>0.93292200000000003</v>
      </c>
    </row>
    <row r="18" spans="1:4" x14ac:dyDescent="0.25">
      <c r="A18">
        <v>17</v>
      </c>
      <c r="B18">
        <v>6.1040000000000001E-3</v>
      </c>
      <c r="C18">
        <v>3.6132999999999998E-2</v>
      </c>
      <c r="D18">
        <v>0.92504900000000001</v>
      </c>
    </row>
    <row r="19" spans="1:4" x14ac:dyDescent="0.25">
      <c r="A19">
        <v>18</v>
      </c>
      <c r="B19">
        <v>9.3380000000000008E-3</v>
      </c>
      <c r="C19">
        <v>3.2471E-2</v>
      </c>
      <c r="D19">
        <v>0.93298300000000001</v>
      </c>
    </row>
    <row r="20" spans="1:4" x14ac:dyDescent="0.25">
      <c r="A20">
        <v>19</v>
      </c>
      <c r="B20">
        <v>-2.869E-3</v>
      </c>
      <c r="C20">
        <v>4.0710000000000003E-2</v>
      </c>
      <c r="D20">
        <v>0.94311500000000004</v>
      </c>
    </row>
    <row r="21" spans="1:4" x14ac:dyDescent="0.25">
      <c r="A21">
        <v>20</v>
      </c>
      <c r="B21">
        <v>9.77E-4</v>
      </c>
      <c r="C21">
        <v>3.9856000000000003E-2</v>
      </c>
      <c r="D21">
        <v>0.92993199999999998</v>
      </c>
    </row>
    <row r="22" spans="1:4" x14ac:dyDescent="0.25">
      <c r="A22">
        <v>21</v>
      </c>
      <c r="B22">
        <v>5.8589999999999996E-3</v>
      </c>
      <c r="C22">
        <v>3.6132999999999998E-2</v>
      </c>
      <c r="D22">
        <v>0.91693100000000005</v>
      </c>
    </row>
    <row r="23" spans="1:4" x14ac:dyDescent="0.25">
      <c r="A23">
        <v>22</v>
      </c>
      <c r="B23">
        <v>-6.4089999999999998E-3</v>
      </c>
      <c r="C23">
        <v>3.6498999999999997E-2</v>
      </c>
      <c r="D23">
        <v>0.92510999999999999</v>
      </c>
    </row>
    <row r="24" spans="1:4" x14ac:dyDescent="0.25">
      <c r="A24">
        <v>23</v>
      </c>
      <c r="B24">
        <v>-1.8494E-2</v>
      </c>
      <c r="C24">
        <v>3.2654000000000002E-2</v>
      </c>
      <c r="D24">
        <v>0.92675799999999997</v>
      </c>
    </row>
    <row r="25" spans="1:4" x14ac:dyDescent="0.25">
      <c r="A25">
        <v>24</v>
      </c>
      <c r="B25">
        <v>-6.1650000000000003E-3</v>
      </c>
      <c r="C25">
        <v>3.4424000000000003E-2</v>
      </c>
      <c r="D25">
        <v>0.92785600000000001</v>
      </c>
    </row>
    <row r="26" spans="1:4" x14ac:dyDescent="0.25">
      <c r="A26">
        <v>25</v>
      </c>
      <c r="B26">
        <v>-7.8740000000000008E-3</v>
      </c>
      <c r="C26">
        <v>3.9489999999999997E-2</v>
      </c>
      <c r="D26">
        <v>0.92596400000000001</v>
      </c>
    </row>
    <row r="27" spans="1:4" x14ac:dyDescent="0.25">
      <c r="A27">
        <v>26</v>
      </c>
      <c r="B27">
        <v>7.4460000000000004E-3</v>
      </c>
      <c r="C27">
        <v>3.8330000000000003E-2</v>
      </c>
      <c r="D27">
        <v>0.92565900000000001</v>
      </c>
    </row>
    <row r="28" spans="1:4" x14ac:dyDescent="0.25">
      <c r="A28">
        <v>27</v>
      </c>
      <c r="B28">
        <v>1.1535999999999999E-2</v>
      </c>
      <c r="C28">
        <v>3.7170000000000002E-2</v>
      </c>
      <c r="D28">
        <v>0.92962599999999995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019F8A-BBFD-4D54-8145-92CE411E9A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位移公式</vt:lpstr>
      <vt:lpstr>STFT 分析的檔案格式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邢豪峰</dc:creator>
  <cp:lastModifiedBy>邢豪峰</cp:lastModifiedBy>
  <dcterms:created xsi:type="dcterms:W3CDTF">2019-08-02T11:10:57Z</dcterms:created>
  <dcterms:modified xsi:type="dcterms:W3CDTF">2019-08-05T04:23:50Z</dcterms:modified>
</cp:coreProperties>
</file>